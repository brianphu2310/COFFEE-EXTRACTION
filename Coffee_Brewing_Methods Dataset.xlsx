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arrot/Downloads/brian/"/>
    </mc:Choice>
  </mc:AlternateContent>
  <xr:revisionPtr revIDLastSave="0" documentId="8_{C2611A82-596E-3544-8E5A-1F603ED264C8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Coffee Brewing Method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<sst xmlns="http://schemas.openxmlformats.org/spreadsheetml/2006/main" count="85" uniqueCount="69">
  <si>
    <t>☕  COFFEE BREWING METHODS — COMPLETE GUIDE</t>
  </si>
  <si>
    <t>13 methods ranked by brew time · Data for educational &amp; analytical use</t>
  </si>
  <si>
    <t>Method</t>
  </si>
  <si>
    <t>Brew Time (min)</t>
  </si>
  <si>
    <t>Caffeine (mg)</t>
  </si>
  <si>
    <t>Antioxidant Rank (1-5)</t>
  </si>
  <si>
    <t>Acidity (1-10)</t>
  </si>
  <si>
    <t>Bitterness (1-10)</t>
  </si>
  <si>
    <t>Body (1-10)</t>
  </si>
  <si>
    <t>Complexity</t>
  </si>
  <si>
    <t>Recommended Equipment</t>
  </si>
  <si>
    <t>Quick Brewing Guide</t>
  </si>
  <si>
    <t>Ristretto</t>
  </si>
  <si>
    <t>High</t>
  </si>
  <si>
    <t>Espresso Machine</t>
  </si>
  <si>
    <t>Grind extra-fine → extract 20-25 sec → collect only first 25ml</t>
  </si>
  <si>
    <t>Espresso</t>
  </si>
  <si>
    <t>Grind fine → tamp 15kg → extract 25-30 sec → 36ml yield</t>
  </si>
  <si>
    <t>Lungo</t>
  </si>
  <si>
    <t>Grind fine → extract longer 35-45 sec → 110ml yield</t>
  </si>
  <si>
    <t>AeroPress</t>
  </si>
  <si>
    <t>Low</t>
  </si>
  <si>
    <t>Medium grind → water 85°C → steep 1-2 min → press gently 20-30 sec</t>
  </si>
  <si>
    <t>Moka Pot</t>
  </si>
  <si>
    <t>Medium</t>
  </si>
  <si>
    <t>Medium-fine grind → medium heat → remove when hissing sound begins</t>
  </si>
  <si>
    <t>Batch Brew</t>
  </si>
  <si>
    <t>Automatic Dripper</t>
  </si>
  <si>
    <t>Medium grind → 1:16 ratio → brew 4-5 min → serve immediately</t>
  </si>
  <si>
    <t>Pour Over</t>
  </si>
  <si>
    <t>Pour Over Dripper + Gooseneck Kettle</t>
  </si>
  <si>
    <t>Medium grind → water 95°C → pour in 5 stages → total 3.5-4 min</t>
  </si>
  <si>
    <t>Siphon</t>
  </si>
  <si>
    <t>Siphon Brewer</t>
  </si>
  <si>
    <t>Heat water to rise → stir 50 sec → remove heat to draw down</t>
  </si>
  <si>
    <t>French Press</t>
  </si>
  <si>
    <t>Coarse grind → water 93°C → steep 4 min → press slowly 20 sec</t>
  </si>
  <si>
    <t>Turkish</t>
  </si>
  <si>
    <t>Ibrik (Cezve)</t>
  </si>
  <si>
    <t>Powder-fine grind → heat 2-3 times until foaming → do not stir</t>
  </si>
  <si>
    <t>Vietnamese Phin</t>
  </si>
  <si>
    <t>Medium-coarse grind → bloom 30 sec → add water → wait 4-6 min</t>
  </si>
  <si>
    <t>Cold Drip</t>
  </si>
  <si>
    <t>Cold Drip Tower</t>
  </si>
  <si>
    <t>Medium-coarse grind → 1 drop/sec → wait 8-12 hrs → dilute with ice</t>
  </si>
  <si>
    <t>Cold Brew</t>
  </si>
  <si>
    <t>Glass Jar + Mesh Filter</t>
  </si>
  <si>
    <t>Coarse grind → 1:8 ratio → refrigerate 12-24 hrs → filter grounds</t>
  </si>
  <si>
    <t>📊  SUMMARY STATISTICS</t>
  </si>
  <si>
    <t>Fastest Brew</t>
  </si>
  <si>
    <t>Slowest Brew</t>
  </si>
  <si>
    <t>Highest Caffeine</t>
  </si>
  <si>
    <t>Avg Caffeine (mg)</t>
  </si>
  <si>
    <t>Avg Acidity</t>
  </si>
  <si>
    <t>Avg Bitterness</t>
  </si>
  <si>
    <t>Primary Taste</t>
  </si>
  <si>
    <t>Sweet, Caramel, Fruity</t>
  </si>
  <si>
    <t>Balanced, Chocolate, Nutty</t>
  </si>
  <si>
    <t>Bitter, Woody, Spicy</t>
  </si>
  <si>
    <t>Clean, Balanced, Sweet</t>
  </si>
  <si>
    <t>Rich, Chocolatey</t>
  </si>
  <si>
    <t>Smooth, Balanced</t>
  </si>
  <si>
    <t>Bright, Clean, Fruity, Floral</t>
  </si>
  <si>
    <t>Aromatic, Complex, Floral</t>
  </si>
  <si>
    <t>Rich, Full-bodied, Bold</t>
  </si>
  <si>
    <t>Strong, Thick, Spicy, Earthy</t>
  </si>
  <si>
    <t>Bold, Chocolatey, Sweet</t>
  </si>
  <si>
    <t>Clean, Smooth, Light, Tea-like</t>
  </si>
  <si>
    <t>Smooth, Sweet, Low-acid, Chocolatey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</si>
</sst>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C4A459"/>
      <name val="Arial"/>
      <family val="2"/>
    </font>
    <font>
      <b/>
      <sz val="10"/>
      <color rgb="FFFFFFFF"/>
      <name val="Arial"/>
      <family val="2"/>
    </font>
    <font>
      <sz val="10"/>
      <color rgb="FF3E1F00"/>
      <name val="Arial"/>
      <family val="2"/>
    </font>
    <font>
      <b/>
      <sz val="10"/>
      <color rgb="FF5C3317"/>
      <name val="Arial"/>
      <family val="2"/>
    </font>
    <font>
      <sz val="10"/>
      <color rgb="FF222222"/>
      <name val="Arial"/>
      <family val="2"/>
    </font>
    <font>
      <b/>
      <sz val="10"/>
      <color rgb="FFC1121F"/>
      <name val="Arial"/>
      <family val="2"/>
    </font>
    <font>
      <i/>
      <sz val="9"/>
      <color rgb="FF444444"/>
      <name val="Arial"/>
      <family val="2"/>
    </font>
    <font>
      <sz val="9"/>
      <color rgb="FF333333"/>
      <name val="Arial"/>
      <family val="2"/>
    </font>
    <font>
      <b/>
      <sz val="10"/>
      <color rgb="FF2D6A4F"/>
      <name val="Arial"/>
      <family val="2"/>
    </font>
    <font>
      <b/>
      <sz val="10"/>
      <color rgb="FFC77B00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E1F00"/>
      </patternFill>
    </fill>
    <fill>
      <patternFill patternType="solid">
        <fgColor rgb="FF2C1810"/>
      </patternFill>
    </fill>
    <fill>
      <patternFill patternType="solid">
        <fgColor rgb="FF5C3317"/>
      </patternFill>
    </fill>
    <fill>
      <patternFill patternType="solid">
        <fgColor rgb="FFFAF0D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8B5A2B"/>
      </left>
      <right style="thin">
        <color rgb="FF8B5A2B"/>
      </right>
      <top style="thin">
        <color rgb="FF8B5A2B"/>
      </top>
      <bottom style="medium">
        <color rgb="FFC4A45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indent="1"/>
    </xf>
    <xf numFmtId="4" fontId="6" fillId="5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 indent="1"/>
    </xf>
    <xf numFmtId="0" fontId="9" fillId="5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indent="1"/>
    </xf>
    <xf numFmtId="4" fontId="6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topLeftCell="C1" zoomScale="150" workbookViewId="0">
      <pane ySplit="3" topLeftCell="A4" activePane="bottomLeft" state="frozen"/>
      <selection pane="bottomLeft" activeCell="V7" sqref="V7"/>
    </sheetView>
  </sheetViews>
  <sheetFormatPr baseColWidth="10" defaultColWidth="8.83203125" defaultRowHeight="15" x14ac:dyDescent="0.2"/>
  <cols>
    <col min="1" max="1" width="18" customWidth="1"/>
    <col min="2" max="3" width="14" customWidth="1"/>
    <col min="4" max="4" width="18" customWidth="1"/>
    <col min="5" max="5" width="14" customWidth="1"/>
    <col min="6" max="6" width="16" customWidth="1"/>
    <col min="7" max="8" width="12" customWidth="1"/>
    <col min="9" max="9" width="30" customWidth="1"/>
    <col min="10" max="10" width="55" customWidth="1"/>
    <col min="11" max="11" width="44.6640625" customWidth="1"/>
    <col min="12" max="15" width="0.1640625" customWidth="1"/>
    <col min="16" max="17" width="8.83203125" hidden="1" customWidth="1"/>
    <col min="18" max="21" width="0.1640625" hidden="1" customWidth="1"/>
  </cols>
  <sheetData>
    <row r="1" spans="1:20" ht="40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1"/>
      <c r="L1" s="22"/>
      <c r="M1" s="22"/>
      <c r="N1" s="22"/>
      <c r="O1" s="22"/>
      <c r="P1" s="22"/>
      <c r="Q1" s="22"/>
      <c r="R1" s="22"/>
      <c r="S1" s="22"/>
      <c r="T1" s="22"/>
    </row>
    <row r="2" spans="1:20" ht="22" customHeight="1" x14ac:dyDescent="0.2">
      <c r="A2" s="24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4"/>
      <c r="L2" s="22"/>
      <c r="M2" s="22"/>
      <c r="N2" s="22"/>
      <c r="O2" s="22"/>
      <c r="P2" s="22"/>
      <c r="Q2" s="22"/>
      <c r="R2" s="22"/>
      <c r="S2" s="22"/>
      <c r="T2" s="22"/>
    </row>
    <row r="3" spans="1:20" ht="32" customHeight="1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55</v>
      </c>
    </row>
    <row r="4" spans="1:20" ht="28" customHeight="1" x14ac:dyDescent="0.2">
      <c r="A4" s="2" t="s">
        <v>12</v>
      </c>
      <c r="B4" s="3">
        <v>0.37</v>
      </c>
      <c r="C4" s="4">
        <v>127</v>
      </c>
      <c r="D4" s="5">
        <v>4</v>
      </c>
      <c r="E4" s="5">
        <v>5</v>
      </c>
      <c r="F4" s="5">
        <v>8</v>
      </c>
      <c r="G4" s="5">
        <v>9</v>
      </c>
      <c r="H4" s="6" t="s">
        <v>13</v>
      </c>
      <c r="I4" s="7" t="s">
        <v>14</v>
      </c>
      <c r="J4" s="8" t="s">
        <v>15</v>
      </c>
      <c r="K4" s="8" t="s">
        <v>56</v>
      </c>
    </row>
    <row r="5" spans="1:20" ht="28" customHeight="1" x14ac:dyDescent="0.2">
      <c r="A5" s="9" t="s">
        <v>16</v>
      </c>
      <c r="B5" s="10">
        <v>0.47</v>
      </c>
      <c r="C5" s="11">
        <v>124</v>
      </c>
      <c r="D5" s="12">
        <v>3</v>
      </c>
      <c r="E5" s="12">
        <v>6</v>
      </c>
      <c r="F5" s="12">
        <v>7</v>
      </c>
      <c r="G5" s="12">
        <v>9</v>
      </c>
      <c r="H5" s="13" t="s">
        <v>13</v>
      </c>
      <c r="I5" s="14" t="s">
        <v>14</v>
      </c>
      <c r="J5" s="15" t="s">
        <v>17</v>
      </c>
      <c r="K5" s="15" t="s">
        <v>57</v>
      </c>
    </row>
    <row r="6" spans="1:20" ht="28" customHeight="1" x14ac:dyDescent="0.2">
      <c r="A6" s="2" t="s">
        <v>18</v>
      </c>
      <c r="B6" s="3">
        <v>0.67</v>
      </c>
      <c r="C6" s="4">
        <v>186</v>
      </c>
      <c r="D6" s="5">
        <v>5</v>
      </c>
      <c r="E6" s="5">
        <v>3</v>
      </c>
      <c r="F6" s="5">
        <v>8</v>
      </c>
      <c r="G6" s="5">
        <v>6</v>
      </c>
      <c r="H6" s="6" t="s">
        <v>13</v>
      </c>
      <c r="I6" s="7" t="s">
        <v>14</v>
      </c>
      <c r="J6" s="8" t="s">
        <v>19</v>
      </c>
      <c r="K6" s="8" t="s">
        <v>58</v>
      </c>
    </row>
    <row r="7" spans="1:20" ht="28" customHeight="1" x14ac:dyDescent="0.2">
      <c r="A7" s="9" t="s">
        <v>20</v>
      </c>
      <c r="B7" s="10">
        <v>1.5</v>
      </c>
      <c r="C7" s="11">
        <v>60</v>
      </c>
      <c r="D7" s="12">
        <v>1</v>
      </c>
      <c r="E7" s="12">
        <v>5</v>
      </c>
      <c r="F7" s="12">
        <v>4</v>
      </c>
      <c r="G7" s="12">
        <v>5</v>
      </c>
      <c r="H7" s="16" t="s">
        <v>21</v>
      </c>
      <c r="I7" s="14" t="s">
        <v>20</v>
      </c>
      <c r="J7" s="15" t="s">
        <v>22</v>
      </c>
      <c r="K7" s="15" t="s">
        <v>59</v>
      </c>
    </row>
    <row r="8" spans="1:20" ht="28" customHeight="1" x14ac:dyDescent="0.2">
      <c r="A8" s="2" t="s">
        <v>23</v>
      </c>
      <c r="B8" s="3">
        <v>4</v>
      </c>
      <c r="C8" s="4">
        <v>548</v>
      </c>
      <c r="D8" s="5">
        <v>3</v>
      </c>
      <c r="E8" s="5">
        <v>4</v>
      </c>
      <c r="F8" s="5">
        <v>6</v>
      </c>
      <c r="G8" s="5">
        <v>8</v>
      </c>
      <c r="H8" s="17" t="s">
        <v>24</v>
      </c>
      <c r="I8" s="7" t="s">
        <v>23</v>
      </c>
      <c r="J8" s="8" t="s">
        <v>25</v>
      </c>
      <c r="K8" s="8" t="s">
        <v>60</v>
      </c>
    </row>
    <row r="9" spans="1:20" ht="28" customHeight="1" x14ac:dyDescent="0.2">
      <c r="A9" s="9" t="s">
        <v>26</v>
      </c>
      <c r="B9" s="10">
        <v>5</v>
      </c>
      <c r="C9" s="11">
        <v>150</v>
      </c>
      <c r="D9" s="12">
        <v>2</v>
      </c>
      <c r="E9" s="12">
        <v>5</v>
      </c>
      <c r="F9" s="12">
        <v>4</v>
      </c>
      <c r="G9" s="12">
        <v>5</v>
      </c>
      <c r="H9" s="16" t="s">
        <v>21</v>
      </c>
      <c r="I9" s="14" t="s">
        <v>27</v>
      </c>
      <c r="J9" s="15" t="s">
        <v>28</v>
      </c>
      <c r="K9" s="15" t="s">
        <v>61</v>
      </c>
    </row>
    <row r="10" spans="1:20" ht="28" customHeight="1" x14ac:dyDescent="0.2">
      <c r="A10" s="2" t="s">
        <v>29</v>
      </c>
      <c r="B10" s="3">
        <v>4.5</v>
      </c>
      <c r="C10" s="4">
        <v>173</v>
      </c>
      <c r="D10" s="5">
        <v>2</v>
      </c>
      <c r="E10" s="5">
        <v>8</v>
      </c>
      <c r="F10" s="5">
        <v>3</v>
      </c>
      <c r="G10" s="5">
        <v>4</v>
      </c>
      <c r="H10" s="6" t="s">
        <v>13</v>
      </c>
      <c r="I10" s="7" t="s">
        <v>30</v>
      </c>
      <c r="J10" s="8" t="s">
        <v>31</v>
      </c>
      <c r="K10" s="8" t="s">
        <v>62</v>
      </c>
    </row>
    <row r="11" spans="1:20" ht="28" customHeight="1" x14ac:dyDescent="0.2">
      <c r="A11" s="9" t="s">
        <v>32</v>
      </c>
      <c r="B11" s="10">
        <v>3.5</v>
      </c>
      <c r="C11" s="11">
        <v>150</v>
      </c>
      <c r="D11" s="12">
        <v>2</v>
      </c>
      <c r="E11" s="12">
        <v>7</v>
      </c>
      <c r="F11" s="12">
        <v>3</v>
      </c>
      <c r="G11" s="12">
        <v>5</v>
      </c>
      <c r="H11" s="13" t="s">
        <v>13</v>
      </c>
      <c r="I11" s="14" t="s">
        <v>33</v>
      </c>
      <c r="J11" s="15" t="s">
        <v>34</v>
      </c>
      <c r="K11" s="15" t="s">
        <v>63</v>
      </c>
    </row>
    <row r="12" spans="1:20" ht="28" customHeight="1" x14ac:dyDescent="0.2">
      <c r="A12" s="2" t="s">
        <v>35</v>
      </c>
      <c r="B12" s="3">
        <v>4.5</v>
      </c>
      <c r="C12" s="4">
        <v>186</v>
      </c>
      <c r="D12" s="5">
        <v>3</v>
      </c>
      <c r="E12" s="5">
        <v>4</v>
      </c>
      <c r="F12" s="5">
        <v>6</v>
      </c>
      <c r="G12" s="5">
        <v>8</v>
      </c>
      <c r="H12" s="18" t="s">
        <v>21</v>
      </c>
      <c r="I12" s="7" t="s">
        <v>35</v>
      </c>
      <c r="J12" s="8" t="s">
        <v>36</v>
      </c>
      <c r="K12" s="8" t="s">
        <v>64</v>
      </c>
    </row>
    <row r="13" spans="1:20" ht="28" customHeight="1" x14ac:dyDescent="0.2">
      <c r="A13" s="9" t="s">
        <v>37</v>
      </c>
      <c r="B13" s="10">
        <v>3.5</v>
      </c>
      <c r="C13" s="11">
        <v>180</v>
      </c>
      <c r="D13" s="12">
        <v>3</v>
      </c>
      <c r="E13" s="12">
        <v>3</v>
      </c>
      <c r="F13" s="12">
        <v>8</v>
      </c>
      <c r="G13" s="12">
        <v>8</v>
      </c>
      <c r="H13" s="13" t="s">
        <v>13</v>
      </c>
      <c r="I13" s="14" t="s">
        <v>38</v>
      </c>
      <c r="J13" s="15" t="s">
        <v>39</v>
      </c>
      <c r="K13" s="15" t="s">
        <v>65</v>
      </c>
    </row>
    <row r="14" spans="1:20" ht="28" customHeight="1" x14ac:dyDescent="0.2">
      <c r="A14" s="2" t="s">
        <v>40</v>
      </c>
      <c r="B14" s="3">
        <v>6.5</v>
      </c>
      <c r="C14" s="4">
        <v>450</v>
      </c>
      <c r="D14" s="5">
        <v>3</v>
      </c>
      <c r="E14" s="5">
        <v>3</v>
      </c>
      <c r="F14" s="5">
        <v>6</v>
      </c>
      <c r="G14" s="5">
        <v>7</v>
      </c>
      <c r="H14" s="18" t="s">
        <v>21</v>
      </c>
      <c r="I14" s="7" t="s">
        <v>40</v>
      </c>
      <c r="J14" s="8" t="s">
        <v>41</v>
      </c>
      <c r="K14" s="8" t="s">
        <v>66</v>
      </c>
    </row>
    <row r="15" spans="1:20" ht="28" customHeight="1" x14ac:dyDescent="0.2">
      <c r="A15" s="9" t="s">
        <v>42</v>
      </c>
      <c r="B15" s="10">
        <v>480</v>
      </c>
      <c r="C15" s="11">
        <v>75</v>
      </c>
      <c r="D15" s="12">
        <v>5</v>
      </c>
      <c r="E15" s="12">
        <v>2</v>
      </c>
      <c r="F15" s="12">
        <v>2</v>
      </c>
      <c r="G15" s="12">
        <v>5</v>
      </c>
      <c r="H15" s="16" t="s">
        <v>21</v>
      </c>
      <c r="I15" s="14" t="s">
        <v>43</v>
      </c>
      <c r="J15" s="15" t="s">
        <v>44</v>
      </c>
      <c r="K15" s="15" t="s">
        <v>67</v>
      </c>
    </row>
    <row r="16" spans="1:20" ht="28" customHeight="1" x14ac:dyDescent="0.2">
      <c r="A16" s="2" t="s">
        <v>45</v>
      </c>
      <c r="B16" s="3">
        <v>1080</v>
      </c>
      <c r="C16" s="4">
        <v>560</v>
      </c>
      <c r="D16" s="5">
        <v>2</v>
      </c>
      <c r="E16" s="5">
        <v>2</v>
      </c>
      <c r="F16" s="5">
        <v>2</v>
      </c>
      <c r="G16" s="5">
        <v>6</v>
      </c>
      <c r="H16" s="18" t="s">
        <v>21</v>
      </c>
      <c r="I16" s="7" t="s">
        <v>46</v>
      </c>
      <c r="J16" s="8" t="s">
        <v>47</v>
      </c>
      <c r="K16" s="8" t="s">
        <v>68</v>
      </c>
    </row>
    <row r="18" spans="1:20" ht="26" customHeight="1" x14ac:dyDescent="0.2">
      <c r="A18" s="23" t="s">
        <v>48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  <c r="L18" s="22"/>
      <c r="M18" s="22"/>
      <c r="N18" s="22"/>
      <c r="O18" s="22"/>
      <c r="P18" s="22"/>
      <c r="Q18" s="22"/>
      <c r="R18" s="22"/>
      <c r="S18" s="22"/>
      <c r="T18" s="22"/>
    </row>
    <row r="19" spans="1:20" ht="22" customHeight="1" x14ac:dyDescent="0.2">
      <c r="A19" s="19" t="s">
        <v>49</v>
      </c>
      <c r="B19" s="20" t="str">
        <f>INDEX(A4:A16,MATCH(MIN(B4:B16),B4:B16,0))</f>
        <v>Ristretto</v>
      </c>
    </row>
    <row r="20" spans="1:20" ht="22" customHeight="1" x14ac:dyDescent="0.2">
      <c r="A20" s="19" t="s">
        <v>50</v>
      </c>
      <c r="B20" s="20" t="str">
        <f>INDEX(A4:A16,MATCH(MAX(B4:B16),B4:B16,0))</f>
        <v>Cold Brew</v>
      </c>
    </row>
    <row r="21" spans="1:20" ht="22" customHeight="1" x14ac:dyDescent="0.2">
      <c r="A21" s="19" t="s">
        <v>51</v>
      </c>
      <c r="B21" s="20" t="str">
        <f>INDEX(A4:A16,MATCH(MAX(C4:C16),C4:C16,0))</f>
        <v>Cold Brew</v>
      </c>
    </row>
    <row r="22" spans="1:20" ht="22" customHeight="1" x14ac:dyDescent="0.2">
      <c r="A22" s="19" t="s">
        <v>52</v>
      </c>
      <c r="B22" s="20">
        <f>ROUND(AVERAGE(C4:C16),0)</f>
        <v>228</v>
      </c>
    </row>
    <row r="23" spans="1:20" ht="22" customHeight="1" x14ac:dyDescent="0.2">
      <c r="A23" s="19" t="s">
        <v>53</v>
      </c>
      <c r="B23" s="20">
        <f>ROUND(AVERAGE(E4:E16),1)</f>
        <v>4.4000000000000004</v>
      </c>
    </row>
    <row r="24" spans="1:20" ht="22" customHeight="1" x14ac:dyDescent="0.2">
      <c r="A24" s="19" t="s">
        <v>54</v>
      </c>
      <c r="B24" s="20">
        <f>ROUND(AVERAGE(F4:F16),1)</f>
        <v>5.2</v>
      </c>
    </row>
  </sheetData>
  <mergeCells count="6">
    <mergeCell ref="A1:J1"/>
    <mergeCell ref="A18:J18"/>
    <mergeCell ref="A2:J2"/>
    <mergeCell ref="K1:T1"/>
    <mergeCell ref="K2:T2"/>
    <mergeCell ref="K18:T18"/>
  </mergeCells>
  <conditionalFormatting sqref="C4:C16">
    <cfRule type="dataBar" priority="4">
      <dataBar>
        <cfvo type="min"/>
        <cfvo type="max"/>
        <color rgb="FF8B5A2B"/>
      </dataBar>
    </cfRule>
  </conditionalFormatting>
  <conditionalFormatting sqref="E4:E16">
    <cfRule type="colorScale" priority="1">
      <colorScale>
        <cfvo type="min"/>
        <cfvo type="percentile" val="50"/>
        <cfvo type="max"/>
        <color rgb="FFFFF9F0"/>
        <color rgb="FFC4A459"/>
        <color rgb="FF5C3317"/>
      </colorScale>
    </cfRule>
  </conditionalFormatting>
  <conditionalFormatting sqref="F4:F16">
    <cfRule type="colorScale" priority="2">
      <colorScale>
        <cfvo type="min"/>
        <cfvo type="percentile" val="50"/>
        <cfvo type="max"/>
        <color rgb="FFFFF9F0"/>
        <color rgb="FFC4A459"/>
        <color rgb="FF5C3317"/>
      </colorScale>
    </cfRule>
  </conditionalFormatting>
  <conditionalFormatting sqref="G4:G16">
    <cfRule type="colorScale" priority="3">
      <colorScale>
        <cfvo type="min"/>
        <cfvo type="percentile" val="50"/>
        <cfvo type="max"/>
        <color rgb="FFFFF9F0"/>
        <color rgb="FFC4A459"/>
        <color rgb="FF5C331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Brewing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Phu  Ma</cp:lastModifiedBy>
  <dcterms:created xsi:type="dcterms:W3CDTF">2026-04-15T23:39:51Z</dcterms:created>
  <dcterms:modified xsi:type="dcterms:W3CDTF">2026-04-16T01:26:15Z</dcterms:modified>
</cp:coreProperties>
</file>