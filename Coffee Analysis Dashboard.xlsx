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rot/Downloads/brian/"/>
    </mc:Choice>
  </mc:AlternateContent>
  <xr:revisionPtr revIDLastSave="0" documentId="8_{3CB70992-F4AB-DF44-8938-24A3B79785AB}" xr6:coauthVersionLast="47" xr6:coauthVersionMax="47" xr10:uidLastSave="{00000000-0000-0000-0000-000000000000}"/>
  <bookViews>
    <workbookView xWindow="-660" yWindow="3300" windowWidth="13920" windowHeight="17180" xr2:uid="{85E41BEC-9318-5248-9BA9-A81CE7675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2" i="1"/>
</calcChain>
</file>

<file path=xl/sharedStrings.xml><?xml version="1.0" encoding="utf-8"?>
<sst xmlns="http://schemas.openxmlformats.org/spreadsheetml/2006/main" count="93" uniqueCount="78">
  <si>
    <t>Method</t>
  </si>
  <si>
    <t>Time_seconds</t>
  </si>
  <si>
    <t>Caffein_mg_per_L</t>
  </si>
  <si>
    <t>Volume_ml</t>
  </si>
  <si>
    <t>Antioxidant_rank</t>
  </si>
  <si>
    <t>Complexity</t>
  </si>
  <si>
    <t>Extraction_mechanism</t>
  </si>
  <si>
    <t>Equipment</t>
  </si>
  <si>
    <t>Ristretto</t>
  </si>
  <si>
    <t>High</t>
  </si>
  <si>
    <t xml:space="preserve"> High</t>
  </si>
  <si>
    <t>Pressure (9 bar) - restricted</t>
  </si>
  <si>
    <t>Espresso Machine</t>
  </si>
  <si>
    <t>Espresso</t>
  </si>
  <si>
    <t xml:space="preserve">Pressure (9 bar) </t>
  </si>
  <si>
    <t>Lungo</t>
  </si>
  <si>
    <t>Pressure (9 bar) - extended</t>
  </si>
  <si>
    <t>AeroPress</t>
  </si>
  <si>
    <t>Low</t>
  </si>
  <si>
    <t>Pressure + Immersion</t>
  </si>
  <si>
    <t>Moka Pot</t>
  </si>
  <si>
    <t>Continuos Percolation (auto)</t>
  </si>
  <si>
    <t>Medium</t>
  </si>
  <si>
    <t>Steam Pressure</t>
  </si>
  <si>
    <t>Automatic Dripper</t>
  </si>
  <si>
    <t>Batch Brew</t>
  </si>
  <si>
    <t>Pour Over</t>
  </si>
  <si>
    <t>Dripper + Kettle</t>
  </si>
  <si>
    <t xml:space="preserve">Siphon </t>
  </si>
  <si>
    <t>Vacuum</t>
  </si>
  <si>
    <t>Siphon Brewer</t>
  </si>
  <si>
    <t>French press</t>
  </si>
  <si>
    <t>Full Immersion</t>
  </si>
  <si>
    <t>French Press</t>
  </si>
  <si>
    <t>Turkish</t>
  </si>
  <si>
    <t>Decoction (Boiling)</t>
  </si>
  <si>
    <t>Ibrik (Cezve)</t>
  </si>
  <si>
    <t>Vietnamese Phin</t>
  </si>
  <si>
    <t>Slow Drip (Gravity)</t>
  </si>
  <si>
    <t>Cold Drip</t>
  </si>
  <si>
    <t>Cold Percolation</t>
  </si>
  <si>
    <t>Cold Drip Tower</t>
  </si>
  <si>
    <t>Cold Brew</t>
  </si>
  <si>
    <t>Cold Immersion</t>
  </si>
  <si>
    <t>Glass Jar</t>
  </si>
  <si>
    <t>Time_Minutes</t>
  </si>
  <si>
    <t>Cafeine_mg_per_cup</t>
  </si>
  <si>
    <t>Acidity (1-10)</t>
  </si>
  <si>
    <t>Bitterness (1-10)</t>
  </si>
  <si>
    <t>Body (1-10)</t>
  </si>
  <si>
    <t>Primary_Taste</t>
  </si>
  <si>
    <t>Aroma_Notes</t>
  </si>
  <si>
    <t>Sweet, Caramel, Fruity</t>
  </si>
  <si>
    <t>Balanced, Chocolate, Nutty</t>
  </si>
  <si>
    <t>Bitter, Woody, Spicy</t>
  </si>
  <si>
    <t>Clean, Balanced, Sweet</t>
  </si>
  <si>
    <t>Rich, Chocolatey</t>
  </si>
  <si>
    <t>Smooth, Balanced</t>
  </si>
  <si>
    <t>Bright, Clean, Fruity</t>
  </si>
  <si>
    <t>Aromatic, Complex</t>
  </si>
  <si>
    <t>Rich, Full-bodied, Bold</t>
  </si>
  <si>
    <t>Strong, Thick, Spicy</t>
  </si>
  <si>
    <t>Bold, Chocolatey, Sweet</t>
  </si>
  <si>
    <t>Clean, Smooth, Light</t>
  </si>
  <si>
    <t>Smooth, Sweet, Low-acid</t>
  </si>
  <si>
    <t>Roasty, intense, complex</t>
  </si>
  <si>
    <t>Intense, creamy, complex</t>
  </si>
  <si>
    <t>Extended extraction, less sweet</t>
  </si>
  <si>
    <t>Versatile - can be mild or strong</t>
  </si>
  <si>
    <t>Similar to espresso but lighter body</t>
  </si>
  <si>
    <t>Consistent, convenient, clean</t>
  </si>
  <si>
    <t>Floral, tea-like, aromatic</t>
  </si>
  <si>
    <t>Clean, balanced, theatrical</t>
  </si>
  <si>
    <t>Unfiltered, gritty texture, bold</t>
  </si>
  <si>
    <t>Rich, slow extraction, ideal with milk</t>
  </si>
  <si>
    <t>Delicate, tea-like, pure</t>
  </si>
  <si>
    <t>Chocolatey, nutty, refreshing</t>
  </si>
  <si>
    <t>Oily, heavy, deep sweetness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</si>
</sst>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F1115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1BA-D184-F04E-B4D8-EF3B230CFE8C}">
  <dimension ref="A1:O14"/>
  <sheetViews>
    <sheetView tabSelected="1" zoomScale="138" workbookViewId="0">
      <selection activeCell="N1" sqref="N1"/>
    </sheetView>
  </sheetViews>
  <sheetFormatPr baseColWidth="10" defaultRowHeight="16" x14ac:dyDescent="0.2"/>
  <cols>
    <col min="1" max="1" width="14.83203125" bestFit="1" customWidth="1"/>
    <col min="2" max="2" width="12.1640625" customWidth="1"/>
    <col min="3" max="3" width="15.33203125" bestFit="1" customWidth="1"/>
    <col min="5" max="5" width="14.6640625" bestFit="1" customWidth="1"/>
    <col min="7" max="7" width="25.33203125" bestFit="1" customWidth="1"/>
    <col min="8" max="8" width="16.1640625" bestFit="1" customWidth="1"/>
    <col min="9" max="9" width="13" bestFit="1" customWidth="1"/>
    <col min="10" max="10" width="19.1640625" bestFit="1" customWidth="1"/>
    <col min="11" max="11" width="12.1640625" bestFit="1" customWidth="1"/>
    <col min="12" max="12" width="15.33203125" bestFit="1" customWidth="1"/>
    <col min="14" max="14" width="32.83203125" bestFit="1" customWidth="1"/>
    <col min="15" max="15" width="42.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</row>
    <row r="2" spans="1:15" x14ac:dyDescent="0.2">
      <c r="A2" t="s">
        <v>8</v>
      </c>
      <c r="B2">
        <v>22</v>
      </c>
      <c r="C2">
        <v>5085</v>
      </c>
      <c r="D2">
        <v>25</v>
      </c>
      <c r="E2">
        <v>4</v>
      </c>
      <c r="F2" t="s">
        <v>10</v>
      </c>
      <c r="G2" t="s">
        <v>11</v>
      </c>
      <c r="H2" t="s">
        <v>12</v>
      </c>
      <c r="I2">
        <f>(B2/60)</f>
        <v>0.36666666666666664</v>
      </c>
      <c r="J2">
        <f>(D2*C2)/1000</f>
        <v>127.125</v>
      </c>
      <c r="K2">
        <v>5</v>
      </c>
      <c r="L2">
        <v>8</v>
      </c>
      <c r="M2">
        <v>9</v>
      </c>
      <c r="N2" s="2" t="s">
        <v>52</v>
      </c>
      <c r="O2" s="3" t="s">
        <v>65</v>
      </c>
    </row>
    <row r="3" spans="1:15" x14ac:dyDescent="0.2">
      <c r="A3" t="s">
        <v>13</v>
      </c>
      <c r="B3">
        <v>28</v>
      </c>
      <c r="C3">
        <v>3108</v>
      </c>
      <c r="D3">
        <v>40</v>
      </c>
      <c r="E3">
        <v>3</v>
      </c>
      <c r="F3" t="s">
        <v>9</v>
      </c>
      <c r="G3" t="s">
        <v>14</v>
      </c>
      <c r="H3" t="s">
        <v>12</v>
      </c>
      <c r="I3">
        <f t="shared" ref="I3:I14" si="0">(B3/60)</f>
        <v>0.46666666666666667</v>
      </c>
      <c r="J3">
        <f t="shared" ref="J3:J14" si="1">(D3*C3)/1000</f>
        <v>124.32</v>
      </c>
      <c r="K3">
        <v>6</v>
      </c>
      <c r="L3">
        <v>7</v>
      </c>
      <c r="M3">
        <v>9</v>
      </c>
      <c r="N3" s="3" t="s">
        <v>53</v>
      </c>
      <c r="O3" s="2" t="s">
        <v>66</v>
      </c>
    </row>
    <row r="4" spans="1:15" x14ac:dyDescent="0.2">
      <c r="A4" t="s">
        <v>15</v>
      </c>
      <c r="B4">
        <v>40</v>
      </c>
      <c r="C4">
        <v>1690</v>
      </c>
      <c r="D4">
        <v>110</v>
      </c>
      <c r="E4">
        <v>5</v>
      </c>
      <c r="F4" t="s">
        <v>9</v>
      </c>
      <c r="G4" t="s">
        <v>16</v>
      </c>
      <c r="H4" t="s">
        <v>12</v>
      </c>
      <c r="I4">
        <f t="shared" si="0"/>
        <v>0.66666666666666663</v>
      </c>
      <c r="J4">
        <f t="shared" si="1"/>
        <v>185.9</v>
      </c>
      <c r="K4">
        <v>3</v>
      </c>
      <c r="L4">
        <v>8</v>
      </c>
      <c r="M4">
        <v>6</v>
      </c>
      <c r="N4" s="3" t="s">
        <v>54</v>
      </c>
      <c r="O4" s="3" t="s">
        <v>67</v>
      </c>
    </row>
    <row r="5" spans="1:15" x14ac:dyDescent="0.2">
      <c r="A5" t="s">
        <v>17</v>
      </c>
      <c r="B5">
        <v>90</v>
      </c>
      <c r="C5">
        <v>240</v>
      </c>
      <c r="D5">
        <v>250</v>
      </c>
      <c r="E5">
        <v>1</v>
      </c>
      <c r="F5" t="s">
        <v>18</v>
      </c>
      <c r="G5" t="s">
        <v>19</v>
      </c>
      <c r="H5" t="s">
        <v>17</v>
      </c>
      <c r="I5">
        <f t="shared" si="0"/>
        <v>1.5</v>
      </c>
      <c r="J5">
        <f t="shared" si="1"/>
        <v>60</v>
      </c>
      <c r="K5">
        <v>5</v>
      </c>
      <c r="L5">
        <v>4</v>
      </c>
      <c r="M5">
        <v>5</v>
      </c>
      <c r="N5" s="3" t="s">
        <v>55</v>
      </c>
      <c r="O5" s="3" t="s">
        <v>68</v>
      </c>
    </row>
    <row r="6" spans="1:15" x14ac:dyDescent="0.2">
      <c r="A6" t="s">
        <v>20</v>
      </c>
      <c r="B6">
        <v>240</v>
      </c>
      <c r="C6">
        <v>2192</v>
      </c>
      <c r="D6">
        <v>250</v>
      </c>
      <c r="E6">
        <v>3</v>
      </c>
      <c r="F6" t="s">
        <v>22</v>
      </c>
      <c r="G6" t="s">
        <v>23</v>
      </c>
      <c r="H6" t="s">
        <v>20</v>
      </c>
      <c r="I6">
        <f t="shared" si="0"/>
        <v>4</v>
      </c>
      <c r="J6">
        <f t="shared" si="1"/>
        <v>548</v>
      </c>
      <c r="K6">
        <v>4</v>
      </c>
      <c r="L6">
        <v>6</v>
      </c>
      <c r="M6">
        <v>8</v>
      </c>
      <c r="N6" s="3" t="s">
        <v>56</v>
      </c>
      <c r="O6" s="3" t="s">
        <v>69</v>
      </c>
    </row>
    <row r="7" spans="1:15" x14ac:dyDescent="0.2">
      <c r="A7" t="s">
        <v>25</v>
      </c>
      <c r="B7">
        <v>300</v>
      </c>
      <c r="C7">
        <v>600</v>
      </c>
      <c r="D7">
        <v>250</v>
      </c>
      <c r="E7">
        <v>2</v>
      </c>
      <c r="F7" t="s">
        <v>18</v>
      </c>
      <c r="G7" t="s">
        <v>21</v>
      </c>
      <c r="H7" t="s">
        <v>24</v>
      </c>
      <c r="I7">
        <f t="shared" si="0"/>
        <v>5</v>
      </c>
      <c r="J7">
        <f t="shared" si="1"/>
        <v>150</v>
      </c>
      <c r="K7">
        <v>5</v>
      </c>
      <c r="L7">
        <v>4</v>
      </c>
      <c r="M7">
        <v>5</v>
      </c>
      <c r="N7" s="3" t="s">
        <v>57</v>
      </c>
      <c r="O7" s="3" t="s">
        <v>70</v>
      </c>
    </row>
    <row r="8" spans="1:15" x14ac:dyDescent="0.2">
      <c r="A8" t="s">
        <v>26</v>
      </c>
      <c r="B8">
        <v>270</v>
      </c>
      <c r="C8">
        <v>692</v>
      </c>
      <c r="D8">
        <v>250</v>
      </c>
      <c r="E8">
        <v>2</v>
      </c>
      <c r="F8" t="s">
        <v>9</v>
      </c>
      <c r="G8" t="s">
        <v>21</v>
      </c>
      <c r="H8" t="s">
        <v>27</v>
      </c>
      <c r="I8">
        <f t="shared" si="0"/>
        <v>4.5</v>
      </c>
      <c r="J8">
        <f t="shared" si="1"/>
        <v>173</v>
      </c>
      <c r="K8">
        <v>8</v>
      </c>
      <c r="L8">
        <v>3</v>
      </c>
      <c r="M8">
        <v>4</v>
      </c>
      <c r="N8" s="3" t="s">
        <v>58</v>
      </c>
      <c r="O8" s="3" t="s">
        <v>71</v>
      </c>
    </row>
    <row r="9" spans="1:15" x14ac:dyDescent="0.2">
      <c r="A9" t="s">
        <v>28</v>
      </c>
      <c r="B9">
        <v>210</v>
      </c>
      <c r="C9">
        <v>600</v>
      </c>
      <c r="D9">
        <v>250</v>
      </c>
      <c r="E9">
        <v>2</v>
      </c>
      <c r="F9" t="s">
        <v>9</v>
      </c>
      <c r="G9" t="s">
        <v>29</v>
      </c>
      <c r="H9" t="s">
        <v>30</v>
      </c>
      <c r="I9">
        <f t="shared" si="0"/>
        <v>3.5</v>
      </c>
      <c r="J9">
        <f t="shared" si="1"/>
        <v>150</v>
      </c>
      <c r="K9">
        <v>7</v>
      </c>
      <c r="L9">
        <v>3</v>
      </c>
      <c r="M9">
        <v>5</v>
      </c>
      <c r="N9" s="3" t="s">
        <v>59</v>
      </c>
      <c r="O9" s="3" t="s">
        <v>72</v>
      </c>
    </row>
    <row r="10" spans="1:15" x14ac:dyDescent="0.2">
      <c r="A10" t="s">
        <v>31</v>
      </c>
      <c r="B10">
        <v>270</v>
      </c>
      <c r="C10">
        <v>742</v>
      </c>
      <c r="D10">
        <v>250</v>
      </c>
      <c r="E10">
        <v>3</v>
      </c>
      <c r="F10" t="s">
        <v>18</v>
      </c>
      <c r="G10" t="s">
        <v>32</v>
      </c>
      <c r="H10" t="s">
        <v>33</v>
      </c>
      <c r="I10">
        <f t="shared" si="0"/>
        <v>4.5</v>
      </c>
      <c r="J10">
        <f t="shared" si="1"/>
        <v>185.5</v>
      </c>
      <c r="K10">
        <v>4</v>
      </c>
      <c r="L10">
        <v>6</v>
      </c>
      <c r="M10">
        <v>8</v>
      </c>
      <c r="N10" s="3" t="s">
        <v>60</v>
      </c>
      <c r="O10" s="3" t="s">
        <v>77</v>
      </c>
    </row>
    <row r="11" spans="1:15" x14ac:dyDescent="0.2">
      <c r="A11" t="s">
        <v>34</v>
      </c>
      <c r="B11">
        <v>210</v>
      </c>
      <c r="C11">
        <v>1200</v>
      </c>
      <c r="D11">
        <v>150</v>
      </c>
      <c r="E11">
        <v>3</v>
      </c>
      <c r="F11" t="s">
        <v>9</v>
      </c>
      <c r="G11" t="s">
        <v>35</v>
      </c>
      <c r="H11" t="s">
        <v>36</v>
      </c>
      <c r="I11">
        <f t="shared" si="0"/>
        <v>3.5</v>
      </c>
      <c r="J11">
        <f t="shared" si="1"/>
        <v>180</v>
      </c>
      <c r="K11">
        <v>3</v>
      </c>
      <c r="L11">
        <v>8</v>
      </c>
      <c r="M11">
        <v>8</v>
      </c>
      <c r="N11" s="3" t="s">
        <v>61</v>
      </c>
      <c r="O11" s="3" t="s">
        <v>73</v>
      </c>
    </row>
    <row r="12" spans="1:15" x14ac:dyDescent="0.2">
      <c r="A12" t="s">
        <v>37</v>
      </c>
      <c r="B12">
        <v>390</v>
      </c>
      <c r="C12">
        <v>1800</v>
      </c>
      <c r="D12">
        <v>250</v>
      </c>
      <c r="E12">
        <v>3</v>
      </c>
      <c r="F12" t="s">
        <v>18</v>
      </c>
      <c r="G12" t="s">
        <v>38</v>
      </c>
      <c r="H12" t="s">
        <v>37</v>
      </c>
      <c r="I12">
        <f t="shared" si="0"/>
        <v>6.5</v>
      </c>
      <c r="J12">
        <f t="shared" si="1"/>
        <v>450</v>
      </c>
      <c r="K12">
        <v>3</v>
      </c>
      <c r="L12">
        <v>6</v>
      </c>
      <c r="M12">
        <v>7</v>
      </c>
      <c r="N12" s="3" t="s">
        <v>62</v>
      </c>
      <c r="O12" s="3" t="s">
        <v>74</v>
      </c>
    </row>
    <row r="13" spans="1:15" x14ac:dyDescent="0.2">
      <c r="A13" t="s">
        <v>39</v>
      </c>
      <c r="B13">
        <v>28800</v>
      </c>
      <c r="C13">
        <v>300</v>
      </c>
      <c r="D13">
        <v>250</v>
      </c>
      <c r="E13">
        <v>5</v>
      </c>
      <c r="F13" t="s">
        <v>18</v>
      </c>
      <c r="G13" t="s">
        <v>40</v>
      </c>
      <c r="H13" t="s">
        <v>41</v>
      </c>
      <c r="I13">
        <f t="shared" si="0"/>
        <v>480</v>
      </c>
      <c r="J13">
        <f t="shared" si="1"/>
        <v>75</v>
      </c>
      <c r="K13">
        <v>2</v>
      </c>
      <c r="L13">
        <v>2</v>
      </c>
      <c r="M13">
        <v>5</v>
      </c>
      <c r="N13" s="3" t="s">
        <v>63</v>
      </c>
      <c r="O13" s="3" t="s">
        <v>75</v>
      </c>
    </row>
    <row r="14" spans="1:15" x14ac:dyDescent="0.2">
      <c r="A14" t="s">
        <v>42</v>
      </c>
      <c r="B14">
        <v>64800</v>
      </c>
      <c r="C14">
        <v>2240</v>
      </c>
      <c r="D14">
        <v>250</v>
      </c>
      <c r="E14">
        <v>2</v>
      </c>
      <c r="F14" t="s">
        <v>18</v>
      </c>
      <c r="G14" t="s">
        <v>43</v>
      </c>
      <c r="H14" t="s">
        <v>44</v>
      </c>
      <c r="I14">
        <f t="shared" si="0"/>
        <v>1080</v>
      </c>
      <c r="J14">
        <f t="shared" si="1"/>
        <v>560</v>
      </c>
      <c r="K14">
        <v>2</v>
      </c>
      <c r="L14">
        <v>2</v>
      </c>
      <c r="M14">
        <v>6</v>
      </c>
      <c r="N14" s="3" t="s">
        <v>64</v>
      </c>
      <c r="O14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Phu  Ma</dc:creator>
  <cp:lastModifiedBy>Ngoc Phu  Ma</cp:lastModifiedBy>
  <dcterms:created xsi:type="dcterms:W3CDTF">2026-04-04T10:07:05Z</dcterms:created>
  <dcterms:modified xsi:type="dcterms:W3CDTF">2026-04-08T12:33:13Z</dcterms:modified>
</cp:coreProperties>
</file>